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ita\Desktop\"/>
    </mc:Choice>
  </mc:AlternateContent>
  <xr:revisionPtr revIDLastSave="0" documentId="13_ncr:9_{99A5AA66-416D-4900-89A6-5B967B7AC813}" xr6:coauthVersionLast="47" xr6:coauthVersionMax="47" xr10:uidLastSave="{00000000-0000-0000-0000-000000000000}"/>
  <bookViews>
    <workbookView xWindow="-120" yWindow="-120" windowWidth="20730" windowHeight="11280" activeTab="1" xr2:uid="{A8116EBA-F84C-4B8B-B329-861891A4455D}"/>
  </bookViews>
  <sheets>
    <sheet name="Cleaned" sheetId="1" r:id="rId1"/>
    <sheet name="Analysis" sheetId="3" r:id="rId2"/>
  </sheets>
  <calcPr calcId="0"/>
  <pivotCaches>
    <pivotCache cacheId="8" r:id="rId3"/>
  </pivotCaches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2" i="1"/>
  <c r="K3" i="1"/>
  <c r="K4" i="1"/>
  <c r="K5" i="1"/>
  <c r="K6" i="1"/>
  <c r="K7" i="1"/>
  <c r="K8" i="1"/>
  <c r="K9" i="1"/>
  <c r="K2" i="1"/>
  <c r="J9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<sst xmlns="http://schemas.openxmlformats.org/spreadsheetml/2006/main" count="64" uniqueCount="39">
  <si>
    <t>Order_ID</t>
  </si>
  <si>
    <t>Order_Date</t>
  </si>
  <si>
    <t>Customer_Name</t>
  </si>
  <si>
    <t>Region</t>
  </si>
  <si>
    <t>Product</t>
  </si>
  <si>
    <t>Category</t>
  </si>
  <si>
    <t>Sales</t>
  </si>
  <si>
    <t>Quantity</t>
  </si>
  <si>
    <t>Discount</t>
  </si>
  <si>
    <t>Amit Sharma</t>
  </si>
  <si>
    <t>North</t>
  </si>
  <si>
    <t>Laptop</t>
  </si>
  <si>
    <t>Electronics</t>
  </si>
  <si>
    <t>Riya Singh</t>
  </si>
  <si>
    <t>West</t>
  </si>
  <si>
    <t>Phone</t>
  </si>
  <si>
    <t>John Doe</t>
  </si>
  <si>
    <t>South</t>
  </si>
  <si>
    <t>Table</t>
  </si>
  <si>
    <t>Furniture</t>
  </si>
  <si>
    <t>Ankit Verma</t>
  </si>
  <si>
    <t>East</t>
  </si>
  <si>
    <t>Chair</t>
  </si>
  <si>
    <t>Neha Gupta</t>
  </si>
  <si>
    <t>Headphones</t>
  </si>
  <si>
    <t>Accessories</t>
  </si>
  <si>
    <t>Chris Evans</t>
  </si>
  <si>
    <t>Rahul Mehta</t>
  </si>
  <si>
    <t>Unknown</t>
  </si>
  <si>
    <t>Total Revenue</t>
  </si>
  <si>
    <t>Month</t>
  </si>
  <si>
    <t>Year</t>
  </si>
  <si>
    <t>Row Labels</t>
  </si>
  <si>
    <t>Grand Total</t>
  </si>
  <si>
    <t>Sum of Total Revenue</t>
  </si>
  <si>
    <t>Jan</t>
  </si>
  <si>
    <t>Sales by Region</t>
  </si>
  <si>
    <t>Sales by Category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</si>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</sst>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19" fillId="0" borderId="0" xfId="0" pivotButton="1" applyFont="1"/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NumberFormat="1" applyFont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numFmt numFmtId="1" formatCode="0"/>
    </dxf>
    <dxf>
      <numFmt numFmtId="1" formatCode="0"/>
    </dxf>
    <dxf>
      <numFmt numFmtId="19" formatCode="dd/mm/yyyy"/>
    </dxf>
  </dxfs>
  <tableStyles count="1" defaultTableStyle="TableStyleMedium2" defaultPivotStyle="PivotStyleLight16">
    <tableStyle name="Invisible" pivot="0" table="0" count="0" xr9:uid="{05606E03-C9BB-4AAF-93CF-ECDFC18C57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[cleaned_sales_data.xlsx]Analysis!PivotTable1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Analysis!$B$4:$B$8</c:f>
              <c:numCache>
                <c:formatCode>General</c:formatCode>
                <c:ptCount val="4"/>
                <c:pt idx="0">
                  <c:v>10580</c:v>
                </c:pt>
                <c:pt idx="1">
                  <c:v>54900</c:v>
                </c:pt>
                <c:pt idx="2">
                  <c:v>23341.300000000003</c:v>
                </c:pt>
                <c:pt idx="3">
                  <c:v>110200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3-4B06-B487-9A4820A8B5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8372944"/>
        <c:axId val="1598373424"/>
      </c:barChart>
      <c:catAx>
        <c:axId val="15983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73424"/>
        <c:crosses val="autoZero"/>
        <c:auto val="1"/>
        <c:lblAlgn val="ctr"/>
        <c:lblOffset val="100"/>
        <c:noMultiLvlLbl val="0"/>
      </c:catAx>
      <c:valAx>
        <c:axId val="15983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[cleaned_sales_data.xlsx]Analysis!PivotTable2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Analysis!$D$3:$D$6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Analysis!$E$3:$E$6</c:f>
              <c:numCache>
                <c:formatCode>General</c:formatCode>
                <c:ptCount val="3"/>
                <c:pt idx="0">
                  <c:v>5400</c:v>
                </c:pt>
                <c:pt idx="1">
                  <c:v>176041.3</c:v>
                </c:pt>
                <c:pt idx="2">
                  <c:v>17580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1-4CAE-B7E5-B28B3BCFAD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[cleaned_sales_data.xlsx]Analysis!PivotTable3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Analysis!$G$3:$G$4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Analysis!$H$3:$H$4</c:f>
              <c:numCache>
                <c:formatCode>General</c:formatCode>
                <c:ptCount val="1"/>
                <c:pt idx="0">
                  <c:v>199021.3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0-4005-8A3C-E424D3AFE5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7313056"/>
        <c:axId val="2027314016"/>
      </c:barChart>
      <c:catAx>
        <c:axId val="20273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14016"/>
        <c:crosses val="autoZero"/>
        <c:auto val="1"/>
        <c:lblAlgn val="ctr"/>
        <c:lblOffset val="100"/>
        <c:noMultiLvlLbl val="0"/>
      </c:catAx>
      <c:valAx>
        <c:axId val="20273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147637</xdr:rowOff>
    </xdr:from>
    <xdr:to>
      <xdr:col>2</xdr:col>
      <xdr:colOff>9525</xdr:colOff>
      <xdr:row>26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061A7-8929-F546-DE02-B6981636E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1362075</xdr:colOff>
      <xdr:row>11</xdr:row>
      <xdr:rowOff>128587</xdr:rowOff>
    </xdr:from>
    <xdr:to>
      <xdr:col>5</xdr:col>
      <xdr:colOff>0</xdr:colOff>
      <xdr:row>26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2ED6BE-238E-475E-D8B8-DCBD52A82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11</xdr:row>
      <xdr:rowOff>147637</xdr:rowOff>
    </xdr:from>
    <xdr:to>
      <xdr:col>8</xdr:col>
      <xdr:colOff>9524</xdr:colOff>
      <xdr:row>26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B6BC9A-6467-B2C9-60D2-EAFED4969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harma" refreshedDate="46132.500969444445" createdVersion="8" refreshedVersion="8" minRefreshableVersion="3" recordCount="9" xr:uid="{4A3A7486-BD2D-4CDF-8FF6-D0BB65E7FC40}">
  <cacheSource type="worksheet">
    <worksheetSource ref="A1:L1048576" sheet="Cleaned"/>
  </cacheSource>
  <cacheFields count="12">
    <cacheField name="Order_ID" numFmtId="0">
      <sharedItems containsString="0" containsBlank="1" containsNumber="1" containsInteger="1" minValue="1001" maxValue="1008"/>
    </cacheField>
    <cacheField name="Order_Date" numFmtId="14">
      <sharedItems containsNonDate="0" containsDate="1" containsString="0" containsBlank="1" minDate="2024-01-05T00:00:00" maxDate="2024-01-26T00:00:00"/>
    </cacheField>
    <cacheField name="Customer_Name" numFmtId="0">
      <sharedItems containsBlank="1"/>
    </cacheField>
    <cacheField name="Region" numFmtId="0">
      <sharedItems containsBlank="1" count="5">
        <s v="North"/>
        <s v="West"/>
        <s v="South"/>
        <s v="East"/>
        <m/>
      </sharedItems>
    </cacheField>
    <cacheField name="Product" numFmtId="0">
      <sharedItems containsBlank="1"/>
    </cacheField>
    <cacheField name="Category" numFmtId="0">
      <sharedItems containsBlank="1" count="4">
        <s v="Electronics"/>
        <s v="Furniture"/>
        <s v="Accessories"/>
        <m/>
      </sharedItems>
    </cacheField>
    <cacheField name="Sales" numFmtId="1">
      <sharedItems containsString="0" containsBlank="1" containsNumber="1" containsInteger="1" minValue="2000" maxValue="55000"/>
    </cacheField>
    <cacheField name="Quantity" numFmtId="1">
      <sharedItems containsString="0" containsBlank="1" containsNumber="1" containsInteger="1" minValue="1" maxValue="4"/>
    </cacheField>
    <cacheField name="Discount" numFmtId="2">
      <sharedItems containsString="0" containsBlank="1" containsNumber="1" minValue="0" maxValue="0.2"/>
    </cacheField>
    <cacheField name="Total Revenue" numFmtId="0">
      <sharedItems containsString="0" containsBlank="1" containsNumber="1" minValue="2080" maxValue="57000"/>
    </cacheField>
    <cacheField name="Month" numFmtId="0">
      <sharedItems containsBlank="1" count="2">
        <s v="Jan"/>
        <m/>
      </sharedItems>
    </cacheField>
    <cacheField name="Year" numFmtId="0">
      <sharedItems containsString="0" containsBlank="1" containsNumber="1" containsInteger="1" minValue="2024" maxValue="2024" count="2"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01"/>
    <d v="2024-01-05T00:00:00"/>
    <s v="Amit Sharma"/>
    <x v="0"/>
    <s v="Laptop"/>
    <x v="0"/>
    <n v="55000"/>
    <n v="1"/>
    <n v="0.1"/>
    <n v="49500"/>
    <x v="0"/>
    <x v="0"/>
  </r>
  <r>
    <n v="1002"/>
    <d v="2024-01-07T00:00:00"/>
    <s v="Riya Singh"/>
    <x v="1"/>
    <s v="Phone"/>
    <x v="0"/>
    <n v="30000"/>
    <n v="2"/>
    <n v="0.05"/>
    <n v="57000"/>
    <x v="0"/>
    <x v="0"/>
  </r>
  <r>
    <n v="1003"/>
    <d v="2024-01-10T00:00:00"/>
    <s v="John Doe"/>
    <x v="2"/>
    <s v="Table"/>
    <x v="1"/>
    <n v="7000"/>
    <n v="1"/>
    <n v="0"/>
    <n v="7000"/>
    <x v="0"/>
    <x v="0"/>
  </r>
  <r>
    <n v="1004"/>
    <d v="2024-01-15T00:00:00"/>
    <s v="Ankit Verma"/>
    <x v="3"/>
    <s v="Chair"/>
    <x v="1"/>
    <n v="2500"/>
    <n v="4"/>
    <n v="0.15"/>
    <n v="8500"/>
    <x v="0"/>
    <x v="0"/>
  </r>
  <r>
    <n v="1005"/>
    <d v="2024-01-18T00:00:00"/>
    <s v="Neha Gupta"/>
    <x v="0"/>
    <s v="Headphones"/>
    <x v="2"/>
    <n v="2000"/>
    <n v="3"/>
    <n v="0.1"/>
    <n v="5400"/>
    <x v="0"/>
    <x v="0"/>
  </r>
  <r>
    <n v="1006"/>
    <d v="2024-01-20T00:00:00"/>
    <s v="Unknown"/>
    <x v="1"/>
    <s v="Phone"/>
    <x v="0"/>
    <n v="28000"/>
    <n v="2"/>
    <n v="0.05"/>
    <n v="53200"/>
    <x v="0"/>
    <x v="0"/>
  </r>
  <r>
    <n v="1007"/>
    <d v="2024-01-22T00:00:00"/>
    <s v="Chris Evans"/>
    <x v="2"/>
    <s v="Laptop"/>
    <x v="0"/>
    <n v="18157"/>
    <n v="1"/>
    <n v="0.1"/>
    <n v="16341.300000000001"/>
    <x v="0"/>
    <x v="0"/>
  </r>
  <r>
    <n v="1008"/>
    <d v="2024-01-25T00:00:00"/>
    <s v="Rahul Mehta"/>
    <x v="3"/>
    <s v="Chair"/>
    <x v="1"/>
    <n v="2600"/>
    <n v="1"/>
    <n v="0.2"/>
    <n v="2080"/>
    <x v="0"/>
    <x v="0"/>
  </r>
  <r>
    <m/>
    <m/>
    <m/>
    <x v="4"/>
    <m/>
    <x v="3"/>
    <m/>
    <m/>
    <m/>
    <m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21A25-F75B-4EC8-AB39-489CC66BC80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2:H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h="1" x="1"/>
        <item t="default"/>
      </items>
    </pivotField>
    <pivotField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Sum of Total Revenue" fld="9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0" type="button" dataOnly="0" labelOnly="1" outline="0" axis="axisRow" fieldPosition="0"/>
    </format>
    <format dxfId="3">
      <pivotArea dataOnly="0" labelOnly="1" fieldPosition="0">
        <references count="1">
          <reference field="1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C10F1-921A-4FBE-AA71-FB230E246CA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:E6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9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5" type="button" dataOnly="0" labelOnly="1" outline="0" axis="axisRow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3EF26-F5D8-4A69-A2EB-4D5D31DA0BE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2">
    <pivotField showAll="0"/>
    <pivotField showAll="0"/>
    <pivotField showAll="0"/>
    <pivotField axis="axisRow" showAll="0">
      <items count="6">
        <item x="3"/>
        <item x="0"/>
        <item x="2"/>
        <item x="1"/>
        <item h="1" x="4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9" baseField="3" baseItem="0"/>
  </dataFields>
  <formats count="6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5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2C29F-9245-49A2-9801-EC80B1EC3F83}" name="Table1" displayName="Table1" ref="A1:L9" totalsRowShown="0">
  <autoFilter ref="A1:L9" xr:uid="{6292C29F-9245-49A2-9801-EC80B1EC3F83}"/>
  <tableColumns count="12">
    <tableColumn id="1" xr3:uid="{635C4CFB-FD10-4154-9A2B-7353D4F3E32D}" name="Order_ID"/>
    <tableColumn id="2" xr3:uid="{876C88CC-8371-4790-8FF5-ECC11ADF6480}" name="Order_Date" dataDxfId="30"/>
    <tableColumn id="3" xr3:uid="{B3778FBD-9B73-44B5-9519-3714225DA91F}" name="Customer_Name"/>
    <tableColumn id="4" xr3:uid="{9858073C-63F0-4687-98BC-17A37D811622}" name="Region"/>
    <tableColumn id="5" xr3:uid="{95B8C6B2-1DB6-4AF2-A774-B872AE9FB4FD}" name="Product"/>
    <tableColumn id="6" xr3:uid="{A94D3F5A-0BBD-4CD9-8565-3D7C04CA7993}" name="Category"/>
    <tableColumn id="7" xr3:uid="{4EE0EE62-9037-4BD6-9DAF-145D7576FB65}" name="Sales" dataDxfId="29"/>
    <tableColumn id="8" xr3:uid="{25F7959C-FA1C-4C65-BD3F-9C9346CBAB5D}" name="Quantity" dataDxfId="28"/>
    <tableColumn id="9" xr3:uid="{548C0CE4-C99D-418E-9BB8-DBBDE6069DE5}" name="Discount" dataDxfId="27"/>
    <tableColumn id="10" xr3:uid="{99E45170-5BB9-4FC5-8D49-AFEB24058716}" name="Total Revenue">
      <calculatedColumnFormula>G2*H2*(1-I2)</calculatedColumnFormula>
    </tableColumn>
    <tableColumn id="11" xr3:uid="{4D7C1199-A74F-4B4B-B4E7-EB4F0FF5B88F}" name="Month">
      <calculatedColumnFormula>TEXT(B2,"MMM")</calculatedColumnFormula>
    </tableColumn>
    <tableColumn id="12" xr3:uid="{E27B6069-9009-4C57-8F53-B89B323DD2FA}" name="Year">
      <calculatedColumnFormula>YEAR(B2)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8C01-9A70-459D-8803-6E25B4DEC5F6}">
  <dimension ref="A1:L9"/>
  <sheetViews>
    <sheetView workbookViewId="0">
      <selection activeCell="C14" sqref="C14"/>
    </sheetView>
  </sheetViews>
  <sheetFormatPr defaultRowHeight="15" x14ac:dyDescent="0.25"/>
  <cols>
    <col min="1" max="1" width="11.7109375" customWidth="1"/>
    <col min="2" max="2" width="15.42578125" style="1" customWidth="1"/>
    <col min="3" max="3" width="20.7109375" customWidth="1"/>
    <col min="4" max="4" width="9.28515625" customWidth="1"/>
    <col min="5" max="5" width="16.28515625" customWidth="1"/>
    <col min="6" max="6" width="14.7109375" customWidth="1"/>
    <col min="7" max="7" width="13.28515625" style="3" customWidth="1"/>
    <col min="8" max="8" width="10.85546875" style="3" customWidth="1"/>
    <col min="9" max="9" width="10.85546875" style="2" customWidth="1"/>
    <col min="10" max="10" width="15.140625" customWidth="1"/>
    <col min="11" max="11" width="9.140625" customWidth="1"/>
  </cols>
  <sheetData>
    <row r="1" spans="1:1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2" t="s">
        <v>8</v>
      </c>
      <c r="J1" t="s">
        <v>29</v>
      </c>
      <c r="K1" t="s">
        <v>30</v>
      </c>
      <c r="L1" t="s">
        <v>31</v>
      </c>
    </row>
    <row r="2" spans="1:12" x14ac:dyDescent="0.25">
      <c r="A2">
        <v>1001</v>
      </c>
      <c r="B2" s="1">
        <v>45296</v>
      </c>
      <c r="C2" t="s">
        <v>9</v>
      </c>
      <c r="D2" t="s">
        <v>10</v>
      </c>
      <c r="E2" t="s">
        <v>11</v>
      </c>
      <c r="F2" t="s">
        <v>12</v>
      </c>
      <c r="G2" s="3">
        <v>55000</v>
      </c>
      <c r="H2" s="3">
        <v>1</v>
      </c>
      <c r="I2" s="2">
        <v>0.1</v>
      </c>
      <c r="J2">
        <f>G2*H2*(1-I2)</f>
        <v>49500</v>
      </c>
      <c r="K2" t="str">
        <f>TEXT(B2,"MMM")</f>
        <v>Jan</v>
      </c>
      <c r="L2">
        <f>YEAR(B2)</f>
        <v>2024</v>
      </c>
    </row>
    <row r="3" spans="1:12" x14ac:dyDescent="0.25">
      <c r="A3">
        <v>1002</v>
      </c>
      <c r="B3" s="1">
        <v>45298</v>
      </c>
      <c r="C3" t="s">
        <v>13</v>
      </c>
      <c r="D3" t="s">
        <v>14</v>
      </c>
      <c r="E3" t="s">
        <v>15</v>
      </c>
      <c r="F3" t="s">
        <v>12</v>
      </c>
      <c r="G3" s="3">
        <v>30000</v>
      </c>
      <c r="H3" s="3">
        <v>2</v>
      </c>
      <c r="I3" s="2">
        <v>0.05</v>
      </c>
      <c r="J3">
        <f t="shared" ref="J3:J9" si="0">G3*H3*(1-I3)</f>
        <v>57000</v>
      </c>
      <c r="K3" t="str">
        <f t="shared" ref="K3:K9" si="1">TEXT(B3,"MMM")</f>
        <v>Jan</v>
      </c>
      <c r="L3">
        <f t="shared" ref="L3:L9" si="2">YEAR(B3)</f>
        <v>2024</v>
      </c>
    </row>
    <row r="4" spans="1:12" x14ac:dyDescent="0.25">
      <c r="A4">
        <v>1003</v>
      </c>
      <c r="B4" s="1">
        <v>45301</v>
      </c>
      <c r="C4" t="s">
        <v>16</v>
      </c>
      <c r="D4" t="s">
        <v>17</v>
      </c>
      <c r="E4" t="s">
        <v>18</v>
      </c>
      <c r="F4" t="s">
        <v>19</v>
      </c>
      <c r="G4" s="3">
        <v>7000</v>
      </c>
      <c r="H4" s="3">
        <v>1</v>
      </c>
      <c r="I4" s="2">
        <v>0</v>
      </c>
      <c r="J4">
        <f t="shared" si="0"/>
        <v>7000</v>
      </c>
      <c r="K4" t="str">
        <f t="shared" si="1"/>
        <v>Jan</v>
      </c>
      <c r="L4">
        <f t="shared" si="2"/>
        <v>2024</v>
      </c>
    </row>
    <row r="5" spans="1:12" x14ac:dyDescent="0.25">
      <c r="A5">
        <v>1004</v>
      </c>
      <c r="B5" s="1">
        <v>45306</v>
      </c>
      <c r="C5" t="s">
        <v>20</v>
      </c>
      <c r="D5" t="s">
        <v>21</v>
      </c>
      <c r="E5" t="s">
        <v>22</v>
      </c>
      <c r="F5" t="s">
        <v>19</v>
      </c>
      <c r="G5" s="3">
        <v>2500</v>
      </c>
      <c r="H5" s="3">
        <v>4</v>
      </c>
      <c r="I5" s="2">
        <v>0.15</v>
      </c>
      <c r="J5">
        <f t="shared" si="0"/>
        <v>8500</v>
      </c>
      <c r="K5" t="str">
        <f t="shared" si="1"/>
        <v>Jan</v>
      </c>
      <c r="L5">
        <f t="shared" si="2"/>
        <v>2024</v>
      </c>
    </row>
    <row r="6" spans="1:12" x14ac:dyDescent="0.25">
      <c r="A6">
        <v>1005</v>
      </c>
      <c r="B6" s="1">
        <v>45309</v>
      </c>
      <c r="C6" t="s">
        <v>23</v>
      </c>
      <c r="D6" t="s">
        <v>10</v>
      </c>
      <c r="E6" t="s">
        <v>24</v>
      </c>
      <c r="F6" t="s">
        <v>25</v>
      </c>
      <c r="G6" s="3">
        <v>2000</v>
      </c>
      <c r="H6" s="3">
        <v>3</v>
      </c>
      <c r="I6" s="2">
        <v>0.1</v>
      </c>
      <c r="J6">
        <f t="shared" si="0"/>
        <v>5400</v>
      </c>
      <c r="K6" t="str">
        <f t="shared" si="1"/>
        <v>Jan</v>
      </c>
      <c r="L6">
        <f t="shared" si="2"/>
        <v>2024</v>
      </c>
    </row>
    <row r="7" spans="1:12" x14ac:dyDescent="0.25">
      <c r="A7">
        <v>1006</v>
      </c>
      <c r="B7" s="1">
        <v>45311</v>
      </c>
      <c r="C7" t="s">
        <v>28</v>
      </c>
      <c r="D7" t="s">
        <v>14</v>
      </c>
      <c r="E7" t="s">
        <v>15</v>
      </c>
      <c r="F7" t="s">
        <v>12</v>
      </c>
      <c r="G7" s="3">
        <v>28000</v>
      </c>
      <c r="H7" s="3">
        <v>2</v>
      </c>
      <c r="I7" s="2">
        <v>0.05</v>
      </c>
      <c r="J7">
        <f t="shared" si="0"/>
        <v>53200</v>
      </c>
      <c r="K7" t="str">
        <f t="shared" si="1"/>
        <v>Jan</v>
      </c>
      <c r="L7">
        <f t="shared" si="2"/>
        <v>2024</v>
      </c>
    </row>
    <row r="8" spans="1:12" x14ac:dyDescent="0.25">
      <c r="A8">
        <v>1007</v>
      </c>
      <c r="B8" s="1">
        <v>45313</v>
      </c>
      <c r="C8" t="s">
        <v>26</v>
      </c>
      <c r="D8" t="s">
        <v>17</v>
      </c>
      <c r="E8" t="s">
        <v>11</v>
      </c>
      <c r="F8" t="s">
        <v>12</v>
      </c>
      <c r="G8" s="3">
        <v>18157</v>
      </c>
      <c r="H8" s="3">
        <v>1</v>
      </c>
      <c r="I8" s="2">
        <v>0.1</v>
      </c>
      <c r="J8">
        <f t="shared" si="0"/>
        <v>16341.300000000001</v>
      </c>
      <c r="K8" t="str">
        <f t="shared" si="1"/>
        <v>Jan</v>
      </c>
      <c r="L8">
        <f t="shared" si="2"/>
        <v>2024</v>
      </c>
    </row>
    <row r="9" spans="1:12" x14ac:dyDescent="0.25">
      <c r="A9">
        <v>1008</v>
      </c>
      <c r="B9" s="1">
        <v>45316</v>
      </c>
      <c r="C9" t="s">
        <v>27</v>
      </c>
      <c r="D9" t="s">
        <v>21</v>
      </c>
      <c r="E9" t="s">
        <v>22</v>
      </c>
      <c r="F9" t="s">
        <v>19</v>
      </c>
      <c r="G9" s="3">
        <v>2600</v>
      </c>
      <c r="H9" s="3">
        <v>1</v>
      </c>
      <c r="I9" s="2">
        <v>0.2</v>
      </c>
      <c r="J9">
        <f>G9*H9*(1-I9)</f>
        <v>2080</v>
      </c>
      <c r="K9" t="str">
        <f t="shared" si="1"/>
        <v>Jan</v>
      </c>
      <c r="L9">
        <f t="shared" si="2"/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7B13-82E9-4DCF-A3D3-E69726B6EBB1}">
  <dimension ref="A1:H9"/>
  <sheetViews>
    <sheetView tabSelected="1" zoomScale="80" zoomScaleNormal="80" workbookViewId="0">
      <selection activeCell="I18" sqref="I18"/>
    </sheetView>
  </sheetViews>
  <sheetFormatPr defaultRowHeight="15" x14ac:dyDescent="0.25"/>
  <cols>
    <col min="1" max="1" width="16" customWidth="1"/>
    <col min="2" max="2" width="22.85546875" bestFit="1" customWidth="1"/>
    <col min="3" max="3" width="20.5703125" bestFit="1" customWidth="1"/>
    <col min="4" max="4" width="15.7109375" customWidth="1"/>
    <col min="5" max="5" width="22.140625" customWidth="1"/>
    <col min="7" max="7" width="16.5703125" customWidth="1"/>
    <col min="8" max="8" width="23.85546875" customWidth="1"/>
  </cols>
  <sheetData>
    <row r="1" spans="1:8" ht="15.75" x14ac:dyDescent="0.25">
      <c r="A1" s="8" t="s">
        <v>36</v>
      </c>
      <c r="B1" s="8"/>
      <c r="D1" s="8" t="s">
        <v>37</v>
      </c>
      <c r="E1" s="8"/>
      <c r="G1" s="8" t="s">
        <v>38</v>
      </c>
      <c r="H1" s="8"/>
    </row>
    <row r="2" spans="1:8" ht="15.75" x14ac:dyDescent="0.25">
      <c r="D2" s="4" t="s">
        <v>32</v>
      </c>
      <c r="E2" s="5" t="s">
        <v>34</v>
      </c>
      <c r="G2" s="4" t="s">
        <v>32</v>
      </c>
      <c r="H2" s="5" t="s">
        <v>34</v>
      </c>
    </row>
    <row r="3" spans="1:8" ht="15.75" x14ac:dyDescent="0.25">
      <c r="A3" s="4" t="s">
        <v>32</v>
      </c>
      <c r="B3" s="5" t="s">
        <v>34</v>
      </c>
      <c r="D3" s="6" t="s">
        <v>25</v>
      </c>
      <c r="E3" s="7">
        <v>5400</v>
      </c>
      <c r="G3" s="6" t="s">
        <v>35</v>
      </c>
      <c r="H3" s="7">
        <v>199021.3</v>
      </c>
    </row>
    <row r="4" spans="1:8" ht="15.75" x14ac:dyDescent="0.25">
      <c r="A4" s="6" t="s">
        <v>21</v>
      </c>
      <c r="B4" s="7">
        <v>10580</v>
      </c>
      <c r="D4" s="6" t="s">
        <v>12</v>
      </c>
      <c r="E4" s="7">
        <v>176041.3</v>
      </c>
      <c r="G4" s="6" t="s">
        <v>33</v>
      </c>
      <c r="H4" s="7">
        <v>199021.3</v>
      </c>
    </row>
    <row r="5" spans="1:8" ht="15.75" x14ac:dyDescent="0.25">
      <c r="A5" s="6" t="s">
        <v>10</v>
      </c>
      <c r="B5" s="7">
        <v>54900</v>
      </c>
      <c r="D5" s="6" t="s">
        <v>19</v>
      </c>
      <c r="E5" s="7">
        <v>17580</v>
      </c>
    </row>
    <row r="6" spans="1:8" ht="15.75" x14ac:dyDescent="0.25">
      <c r="A6" s="6" t="s">
        <v>17</v>
      </c>
      <c r="B6" s="7">
        <v>23341.300000000003</v>
      </c>
      <c r="D6" s="6" t="s">
        <v>33</v>
      </c>
      <c r="E6" s="7">
        <v>199021.3</v>
      </c>
    </row>
    <row r="7" spans="1:8" ht="15.75" x14ac:dyDescent="0.25">
      <c r="A7" s="6" t="s">
        <v>14</v>
      </c>
      <c r="B7" s="7">
        <v>110200</v>
      </c>
    </row>
    <row r="8" spans="1:8" ht="15.75" x14ac:dyDescent="0.25">
      <c r="A8" s="6" t="s">
        <v>33</v>
      </c>
      <c r="B8" s="7">
        <v>199021.3</v>
      </c>
    </row>
    <row r="9" spans="1:8" ht="15.75" x14ac:dyDescent="0.25"/>
  </sheetData>
  <mergeCells count="3">
    <mergeCell ref="A1:B1"/>
    <mergeCell ref="D1:E1"/>
    <mergeCell ref="G1:H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</dc:creator>
  <cp:lastModifiedBy>Amit Sharma</cp:lastModifiedBy>
  <dcterms:created xsi:type="dcterms:W3CDTF">2026-04-20T06:10:18Z</dcterms:created>
  <dcterms:modified xsi:type="dcterms:W3CDTF">2026-04-20T07:59:52Z</dcterms:modified>
</cp:coreProperties>
</file>